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ation" sheetId="1" r:id="rId1"/>
    <sheet name="How to use" sheetId="2" r:id="rId2"/>
  </sheets>
  <definedNames>
    <definedName name="_xlnm.Print_Area" localSheetId="0">Quotation!$A$1:$G$44</definedName>
  </definedNames>
  <calcPr calcId="124519" fullCalcOnLoad="1"/>
</workbook>
</file>

<file path=xl/comments1.xml><?xml version="1.0" encoding="utf-8"?>
<comments xmlns="http://schemas.openxmlformats.org/spreadsheetml/2006/main">
  <authors>
    <author>Humiley</author>
  </authors>
  <commentList>
    <comment ref="F27" authorId="0">
      <text>
        <r>
          <rPr>
            <sz val="8"/>
            <color indexed="81"/>
            <rFont val="Tahoma"/>
            <family val="2"/>
          </rPr>
          <t>Enter discount % (e.g. 5%). Leave 0% if none.</t>
        </r>
      </text>
    </comment>
    <comment ref="F28" authorId="0">
      <text>
        <r>
          <rPr>
            <sz val="8"/>
            <color indexed="81"/>
            <rFont val="Tahoma"/>
            <family val="2"/>
          </rPr>
          <t>Enter VAT % (Vietnam standard 10%, 8%, or 0%).</t>
        </r>
      </text>
    </comment>
  </commentList>
</comments>
</file>

<file path=xl/sharedStrings.xml><?xml version="1.0" encoding="utf-8"?>
<sst xmlns="http://schemas.openxmlformats.org/spreadsheetml/2006/main" count="67" uniqueCount="64">
  <si>
    <t>HUMILEY ENGINEERING &amp; SOLUTIONS</t>
  </si>
  <si>
    <t>2nd Floor, 68 Nguyen Hue, Sai Gon Ward, HCMC, Vietnam</t>
  </si>
  <si>
    <t>www.humiley.com   ·   contact@humiley.com   ·   +84 90 9840 714</t>
  </si>
  <si>
    <t>Ho Chi Minh City, {DATE}</t>
  </si>
  <si>
    <t>Ref: {REF}</t>
  </si>
  <si>
    <t>Sir / Madam</t>
  </si>
  <si>
    <t xml:space="preserve"> </t>
  </si>
  <si>
    <t xml:space="preserve"> </t>
  </si>
  <si>
    <t>RE:   {SUBJECT}</t>
  </si>
  <si>
    <t>Dear Sir / Madam,</t>
  </si>
  <si>
    <t>{INTRO}</t>
  </si>
  <si>
    <t>#</t>
  </si>
  <si>
    <t>Item</t>
  </si>
  <si>
    <t>Description</t>
  </si>
  <si>
    <t>Qty</t>
  </si>
  <si>
    <t>Unit</t>
  </si>
  <si>
    <t>Unit Price (VND)</t>
  </si>
  <si>
    <t>Amount (VND)</t>
  </si>
  <si>
    <t xml:space="preserve"> </t>
  </si>
  <si>
    <t xml:space="preserve"> </t>
  </si>
  <si>
    <t>unit</t>
  </si>
  <si>
    <t xml:space="preserve"> </t>
  </si>
  <si>
    <t xml:space="preserve"> </t>
  </si>
  <si>
    <t xml:space="preserve"> </t>
  </si>
  <si>
    <t xml:space="preserve"> </t>
  </si>
  <si>
    <t>lot</t>
  </si>
  <si>
    <t xml:space="preserve"> </t>
  </si>
  <si>
    <t xml:space="preserve"> </t>
  </si>
  <si>
    <t xml:space="preserve"> </t>
  </si>
  <si>
    <t xml:space="preserve"> </t>
  </si>
  <si>
    <t>SUBTOTAL</t>
  </si>
  <si>
    <t>Project Discount</t>
  </si>
  <si>
    <t>Tax / VAT (if applicable)</t>
  </si>
  <si>
    <t>GRAND TOTAL</t>
  </si>
  <si>
    <t>{TERMS}</t>
  </si>
  <si>
    <t>{CLOSING}</t>
  </si>
  <si>
    <t>Should you require any clarification, please do not hesitate to contact me directly on the details below.</t>
  </si>
  <si>
    <t>Yours sincerely,</t>
  </si>
  <si>
    <t xml:space="preserve"> </t>
  </si>
  <si>
    <t xml:space="preserve"> </t>
  </si>
  <si>
    <r>
      <rPr>
        <b/>
        <sz val="10"/>
        <color rgb="FF00B060"/>
        <rFont val="Calibri"/>
        <family val="2"/>
        <scheme val="minor"/>
      </rPr>
      <t xml:space="preserve">E  </t>
    </r>
    <r>
      <rPr>
        <sz val="10"/>
        <color rgb="FF1F2937"/>
        <rFont val="Calibri"/>
        <family val="2"/>
        <scheme val="minor"/>
      </rPr>
      <t xml:space="preserve">{SIGNER_EMAIL}        </t>
    </r>
    <r>
      <rPr>
        <b/>
        <sz val="10"/>
        <color rgb="FF00B060"/>
        <rFont val="Calibri"/>
        <family val="2"/>
        <scheme val="minor"/>
      </rPr>
      <t xml:space="preserve">T  </t>
    </r>
    <r>
      <rPr>
        <sz val="10"/>
        <color rgb="FF1F2937"/>
        <rFont val="Calibri"/>
        <family val="2"/>
        <scheme val="minor"/>
      </rPr>
      <t>{SIGNER_PHONE}</t>
    </r>
  </si>
  <si>
    <r>
      <rPr>
        <b/>
        <sz val="9.5"/>
        <color rgb="FF205090"/>
        <rFont val="Calibri"/>
        <family val="2"/>
        <scheme val="minor"/>
      </rPr>
      <t xml:space="preserve">Encl.   </t>
    </r>
    <r>
      <rPr>
        <i/>
        <sz val="9.5"/>
        <color rgb="FF5C6470"/>
        <rFont val="Calibri"/>
        <family val="2"/>
        <scheme val="minor"/>
      </rPr>
      <t>Detailed quotation HML-QT-2026-0001 (Excel / PDF)</t>
    </r>
  </si>
  <si>
    <t>HOW TO USE — HUMILEY LETTERHEAD QUOTATION</t>
  </si>
  <si>
    <t>Header (two-tone bar) and footer (logo · LETTERHEAD · Page · code) are locked in the page Header/Footer and print on every page.</t>
  </si>
  <si>
    <t>1.  New quote</t>
  </si>
  <si>
    <t>Save a copy named for the customer, e.g. HML-QT-2026-0002 — Customer.xlsx.</t>
  </si>
  <si>
    <t>2.  Date &amp; Ref</t>
  </si>
  <si>
    <t>Update the date and Ref on the right, below the company block.</t>
  </si>
  <si>
    <t>3.  Recipient &amp; RE:</t>
  </si>
  <si>
    <t>Edit the recipient lines, salutation, and the RE: subject.</t>
  </si>
  <si>
    <t>4.  Line items</t>
  </si>
  <si>
    <t>Type Item, Description, Qty, Unit, Unit Price — # and Amount fill automatically.</t>
  </si>
  <si>
    <t xml:space="preserve">   •  Unit</t>
  </si>
  <si>
    <t>Click the Unit cell for a drop-down list.</t>
  </si>
  <si>
    <t xml:space="preserve">   •  More rows</t>
  </si>
  <si>
    <t>Right-click a row ▸ Insert, then copy the Amount formula down.</t>
  </si>
  <si>
    <t>5.  Discount &amp; VAT</t>
  </si>
  <si>
    <t>Enter the % in the two white cells (Vietnam VAT usually 10%).</t>
  </si>
  <si>
    <t>6.  Totals</t>
  </si>
  <si>
    <t>Subtotal / Discount / VAT / Grand Total calculate automatically.</t>
  </si>
  <si>
    <t>7.  Letterhead</t>
  </si>
  <si>
    <t>Bar header &amp; footer are fixed stationery (Page Layout ▸ Header &amp; Footer). Footer doc code = HML-QT-2026-0001.</t>
  </si>
  <si>
    <t>8.  Send</t>
  </si>
  <si>
    <t>Print or export to PDF — the letterhead prints on every page.</t>
  </si>
</sst>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%"/>
  </numFmts>
  <fonts count="19">
    <font>
      <sz val="11"/>
      <color theme="1"/>
      <name val="Calibri"/>
      <family val="2"/>
      <scheme val="minor"/>
    </font>
    <font>
      <b/>
      <sz val="13"/>
      <color rgb="FF205090"/>
      <name val="Calibri"/>
      <family val="2"/>
      <scheme val="minor"/>
    </font>
    <font>
      <sz val="9.5"/>
      <color rgb="FF5C6470"/>
      <name val="Calibri"/>
      <family val="2"/>
      <scheme val="minor"/>
    </font>
    <font>
      <sz val="11"/>
      <color rgb="FF205090"/>
      <name val="Calibri"/>
      <family val="2"/>
      <scheme val="minor"/>
    </font>
    <font>
      <i/>
      <sz val="10"/>
      <color rgb="FF5C6470"/>
      <name val="Calibri"/>
      <family val="2"/>
      <scheme val="minor"/>
    </font>
    <font>
      <b/>
      <sz val="11"/>
      <color rgb="FF205090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1F2937"/>
      <name val="Calibri"/>
      <family val="2"/>
      <scheme val="minor"/>
    </font>
    <font>
      <b/>
      <sz val="9.5"/>
      <color rgb="FF205090"/>
      <name val="Calibri"/>
      <family val="2"/>
      <scheme val="minor"/>
    </font>
    <font>
      <sz val="9"/>
      <color rgb="FF1F2937"/>
      <name val="Calibri"/>
      <family val="2"/>
      <scheme val="minor"/>
    </font>
    <font>
      <b/>
      <sz val="9.5"/>
      <color rgb="FF1F2937"/>
      <name val="Calibri"/>
      <family val="2"/>
      <scheme val="minor"/>
    </font>
    <font>
      <b/>
      <sz val="11.5"/>
      <color rgb="FFFFFFFF"/>
      <name val="Calibri"/>
      <family val="2"/>
      <scheme val="minor"/>
    </font>
    <font>
      <i/>
      <sz val="11"/>
      <color rgb="FF1F2937"/>
      <name val="Calibri"/>
      <family val="2"/>
      <scheme val="minor"/>
    </font>
    <font>
      <b/>
      <sz val="15"/>
      <color rgb="FF205090"/>
      <name val="Calibri"/>
      <family val="2"/>
      <scheme val="minor"/>
    </font>
    <font>
      <i/>
      <sz val="9.5"/>
      <color rgb="FF5C6470"/>
      <name val="Calibri"/>
      <family val="2"/>
      <scheme val="minor"/>
    </font>
    <font>
      <b/>
      <sz val="10"/>
      <color rgb="FF205090"/>
      <name val="Calibri"/>
      <family val="2"/>
      <scheme val="minor"/>
    </font>
    <font>
      <sz val="10"/>
      <color rgb="FF1F2937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205090"/>
        <bgColor indexed="64"/>
      </patternFill>
    </fill>
    <fill>
      <patternFill patternType="solid">
        <fgColor rgb="FFEAF0F8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6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FD6E2"/>
      </top>
      <bottom style="thin">
        <color rgb="FFCFD6E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FD6E2"/>
      </left>
      <right style="thin">
        <color rgb="FFCFD6E2"/>
      </right>
      <top style="thin">
        <color rgb="FFCFD6E2"/>
      </top>
      <bottom style="thin">
        <color rgb="FFCFD6E2"/>
      </bottom>
      <diagonal/>
    </border>
    <border>
      <left style="thin">
        <color rgb="FF00B060"/>
      </left>
      <right style="thin">
        <color rgb="FF00B060"/>
      </right>
      <top style="thin">
        <color rgb="FF00B060"/>
      </top>
      <bottom style="thin">
        <color rgb="FF00B060"/>
      </bottom>
      <diagonal/>
    </border>
    <border>
      <left/>
      <right/>
      <top/>
      <bottom style="medium">
        <color rgb="FF00B06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164" fontId="8" fillId="0" borderId="3" xfId="0" applyNumberFormat="1" applyFont="1" applyBorder="1" applyAlignment="1">
      <alignment horizontal="right" vertical="center"/>
    </xf>
    <xf numFmtId="0" fontId="9" fillId="3" borderId="3" xfId="0" applyFont="1" applyFill="1" applyBorder="1" applyAlignment="1">
      <alignment horizontal="right" vertical="center" indent="1"/>
    </xf>
    <xf numFmtId="164" fontId="11" fillId="4" borderId="3" xfId="0" applyNumberFormat="1" applyFont="1" applyFill="1" applyBorder="1" applyAlignment="1">
      <alignment horizontal="right" vertical="center"/>
    </xf>
    <xf numFmtId="165" fontId="9" fillId="5" borderId="3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right" vertical="center" indent="1"/>
    </xf>
    <xf numFmtId="164" fontId="12" fillId="6" borderId="4" xfId="0" applyNumberFormat="1" applyFont="1" applyFill="1" applyBorder="1" applyAlignment="1">
      <alignment horizontal="right" vertical="center"/>
    </xf>
    <xf numFmtId="0" fontId="0" fillId="0" borderId="5" xfId="0" applyBorder="1"/>
    <xf numFmtId="0" fontId="13" fillId="0" borderId="0" xfId="0" applyFont="1" applyAlignment="1">
      <alignment vertical="center"/>
    </xf>
    <xf numFmtId="0" fontId="0" fillId="6" borderId="0" xfId="0" applyFill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57150</xdr:rowOff>
    </xdr:from>
    <xdr:to>
      <xdr:col>6</xdr:col>
      <xdr:colOff>9525</xdr:colOff>
      <xdr:row>2</xdr:row>
      <xdr:rowOff>82296</xdr:rowOff>
    </xdr:to>
    <xdr:pic>
      <xdr:nvPicPr>
        <xdr:cNvPr id="2" name="Picture 1" descr="HML_logo_nav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0" y="57150"/>
          <a:ext cx="1257300" cy="444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vmlDrawing" Target="../drawings/vmlDrawing2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4"/>
  <sheetViews>
    <sheetView showGridLines="0" tabSelected="1" workbookViewId="0"/>
  </sheetViews>
  <sheetFormatPr defaultRowHeight="15"/>
  <cols>
    <col min="1" max="1" width="5.28515625" customWidth="1"/>
    <col min="2" max="2" width="12.7109375" customWidth="1"/>
    <col min="3" max="3" width="30.7109375" customWidth="1"/>
    <col min="4" max="4" width="6.7109375" customWidth="1"/>
    <col min="5" max="5" width="8.7109375" customWidth="1"/>
    <col min="6" max="6" width="14.28515625" customWidth="1"/>
    <col min="7" max="7" width="14.7109375" customWidth="1"/>
  </cols>
  <sheetData>
    <row r="1" spans="1:7" ht="20" customHeight="1">
      <c r="A1" s="1" t="s">
        <v>0</v>
      </c>
      <c r="B1" s="1"/>
      <c r="C1" s="1"/>
      <c r="D1" s="1"/>
    </row>
    <row r="2" spans="1:7" ht="14" customHeight="1">
      <c r="A2" s="2" t="s">
        <v>1</v>
      </c>
      <c r="B2" s="2"/>
      <c r="C2" s="2"/>
      <c r="D2" s="2"/>
    </row>
    <row r="3" spans="1:7" ht="14" customHeight="1">
      <c r="A3" s="2" t="s">
        <v>2</v>
      </c>
      <c r="B3" s="2"/>
      <c r="C3" s="2"/>
      <c r="D3" s="2"/>
    </row>
    <row r="4" spans="1:7" ht="10" customHeight="1"/>
    <row r="5" spans="1:7">
      <c r="D5" s="3" t="s">
        <v>3</v>
      </c>
      <c r="E5" s="3"/>
      <c r="F5" s="3"/>
      <c r="G5" s="3"/>
    </row>
    <row r="6" spans="1:7" ht="13" customHeight="1">
      <c r="D6" s="4" t="s">
        <v>4</v>
      </c>
      <c r="E6" s="4"/>
      <c r="F6" s="4"/>
      <c r="G6" s="4"/>
    </row>
    <row r="7" spans="1:7" ht="6" customHeight="1"/>
    <row r="8" spans="1:7" ht="14" customHeight="1">
      <c r="A8" s="5" t="s">
        <v>5</v>
      </c>
      <c r="B8" s="5"/>
      <c r="C8" s="5"/>
    </row>
    <row r="9" spans="1:7" ht="13" customHeight="1">
      <c r="A9" s="6" t="s">
        <v>6</v>
      </c>
      <c r="B9" s="6"/>
      <c r="C9" s="6"/>
    </row>
    <row r="10" spans="1:7" ht="13" customHeight="1">
      <c r="A10" s="6" t="s">
        <v>7</v>
      </c>
      <c r="B10" s="6"/>
      <c r="C10" s="6"/>
    </row>
    <row r="11" spans="1:7" ht="6" customHeight="1"/>
    <row r="12" spans="1:7" ht="18" customHeight="1">
      <c r="A12" s="7" t="s">
        <v>8</v>
      </c>
      <c r="B12" s="7"/>
      <c r="C12" s="7"/>
      <c r="D12" s="7"/>
      <c r="E12" s="7"/>
      <c r="F12" s="7"/>
      <c r="G12" s="7"/>
    </row>
    <row r="13" spans="1:7" ht="6" customHeight="1"/>
    <row r="14" spans="1:7">
      <c r="A14" s="6" t="s">
        <v>9</v>
      </c>
      <c r="B14" s="6"/>
      <c r="C14" s="6"/>
      <c r="D14" s="6"/>
      <c r="E14" s="6"/>
      <c r="F14" s="6"/>
      <c r="G14" s="6"/>
    </row>
    <row r="15" spans="1:7" ht="46" customHeight="1">
      <c r="A15" s="8" t="s">
        <v>10</v>
      </c>
      <c r="B15" s="8"/>
      <c r="C15" s="8"/>
      <c r="D15" s="8"/>
      <c r="E15" s="8"/>
      <c r="F15" s="8"/>
      <c r="G15" s="8"/>
    </row>
    <row r="16" spans="1:7" ht="4" customHeight="1"/>
    <row r="17" spans="1:7" ht="22" customHeight="1">
      <c r="A17" s="9" t="s">
        <v>11</v>
      </c>
      <c r="B17" s="9" t="s">
        <v>12</v>
      </c>
      <c r="C17" s="9" t="s">
        <v>13</v>
      </c>
      <c r="D17" s="9" t="s">
        <v>14</v>
      </c>
      <c r="E17" s="9" t="s">
        <v>15</v>
      </c>
      <c r="F17" s="9" t="s">
        <v>16</v>
      </c>
      <c r="G17" s="9" t="s">
        <v>17</v>
      </c>
    </row>
    <row r="18" spans="1:7" ht="56" customHeight="1">
      <c r="A18" s="10">
        <f>IF($B18="","",COUNTA($B$18:$B18))</f>
        <v>1</v>
      </c>
      <c r="B18" s="11" t="s">
        <v>18</v>
      </c>
      <c r="C18" s="12" t="s">
        <v>19</v>
      </c>
      <c r="D18" s="10">
        <v>1</v>
      </c>
      <c r="E18" s="10" t="s">
        <v>20</v>
      </c>
      <c r="F18" s="13">
        <v>264000000</v>
      </c>
      <c r="G18" s="13">
        <f>IF($B18="","",$D18*$F18)</f>
        <v>264000000</v>
      </c>
    </row>
    <row r="19" spans="1:7" ht="16" customHeight="1">
      <c r="A19" s="10">
        <f>IF($B19="","",COUNTA($B$18:$B19))</f>
        <v>2</v>
      </c>
      <c r="B19" s="11" t="s">
        <v>21</v>
      </c>
      <c r="C19" s="12" t="s">
        <v>22</v>
      </c>
      <c r="D19" s="10">
        <v>2</v>
      </c>
      <c r="E19" s="10" t="s">
        <v>20</v>
      </c>
      <c r="F19" s="13">
        <v>143000000</v>
      </c>
      <c r="G19" s="13">
        <f>IF($B19="","",$D19*$F19)</f>
        <v>286000000</v>
      </c>
    </row>
    <row r="20" spans="1:7" ht="28" customHeight="1">
      <c r="A20" s="10">
        <f>IF($B20="","",COUNTA($B$18:$B20))</f>
        <v>3</v>
      </c>
      <c r="B20" s="11" t="s">
        <v>23</v>
      </c>
      <c r="C20" s="12" t="s">
        <v>24</v>
      </c>
      <c r="D20" s="10">
        <v>1</v>
      </c>
      <c r="E20" s="10" t="s">
        <v>25</v>
      </c>
      <c r="F20" s="13">
        <v>124000000</v>
      </c>
      <c r="G20" s="13">
        <f>IF($B20="","",$D20*$F20)</f>
        <v>124000000</v>
      </c>
    </row>
    <row r="21" spans="1:7" ht="16" customHeight="1">
      <c r="A21" s="10">
        <f>IF($B21="","",COUNTA($B$18:$B21))</f>
        <v>4</v>
      </c>
      <c r="B21" s="11" t="s">
        <v>26</v>
      </c>
      <c r="C21" s="12" t="s">
        <v>27</v>
      </c>
      <c r="D21" s="10">
        <v>1</v>
      </c>
      <c r="E21" s="10" t="s">
        <v>25</v>
      </c>
      <c r="F21" s="13">
        <v>33000000</v>
      </c>
      <c r="G21" s="13">
        <f>IF($B21="","",$D21*$F21)</f>
        <v>33000000</v>
      </c>
    </row>
    <row r="22" spans="1:7" ht="26" customHeight="1">
      <c r="A22" s="10">
        <f>IF($B22="","",COUNTA($B$18:$B22))</f>
        <v>5</v>
      </c>
      <c r="B22" s="11" t="s">
        <v>28</v>
      </c>
      <c r="C22" s="12" t="s">
        <v>29</v>
      </c>
      <c r="D22" s="10">
        <v>1</v>
      </c>
      <c r="E22" s="10" t="s">
        <v>25</v>
      </c>
      <c r="F22" s="13">
        <v>24000000</v>
      </c>
      <c r="G22" s="13">
        <f>IF($B22="","",$D22*$F22)</f>
        <v>24000000</v>
      </c>
    </row>
    <row r="23" spans="1:7" ht="16" customHeight="1">
      <c r="A23" s="10">
        <f>IF($B23="","",COUNTA($B$18:$B23))</f>
        <v/>
      </c>
      <c r="B23" s="11"/>
      <c r="C23" s="12"/>
      <c r="D23" s="10"/>
      <c r="E23" s="10"/>
      <c r="F23" s="13"/>
      <c r="G23" s="13">
        <f>IF($B23="","",$D23*$F23)</f>
        <v/>
      </c>
    </row>
    <row r="24" spans="1:7" ht="16" customHeight="1">
      <c r="A24" s="10">
        <f>IF($B24="","",COUNTA($B$18:$B24))</f>
        <v/>
      </c>
      <c r="B24" s="11"/>
      <c r="C24" s="12"/>
      <c r="D24" s="10"/>
      <c r="E24" s="10"/>
      <c r="F24" s="13"/>
      <c r="G24" s="13">
        <f>IF($B24="","",$D24*$F24)</f>
        <v/>
      </c>
    </row>
    <row r="25" spans="1:7" ht="16" customHeight="1">
      <c r="A25" s="10">
        <f>IF($B25="","",COUNTA($B$18:$B25))</f>
        <v/>
      </c>
      <c r="B25" s="11"/>
      <c r="C25" s="12"/>
      <c r="D25" s="10"/>
      <c r="E25" s="10"/>
      <c r="F25" s="13"/>
      <c r="G25" s="13">
        <f>IF($B25="","",$D25*$F25)</f>
        <v/>
      </c>
    </row>
    <row r="26" spans="1:7" ht="17" customHeight="1">
      <c r="C26" s="14" t="s">
        <v>30</v>
      </c>
      <c r="D26" s="14"/>
      <c r="E26" s="14"/>
      <c r="F26" s="14"/>
      <c r="G26" s="15">
        <f>SUM(G18:G25)</f>
        <v>731000000</v>
      </c>
    </row>
    <row r="27" spans="1:7" ht="17" customHeight="1">
      <c r="C27" s="14" t="s">
        <v>31</v>
      </c>
      <c r="D27" s="14"/>
      <c r="E27" s="14"/>
      <c r="F27" s="16">
        <v>0</v>
      </c>
      <c r="G27" s="13">
        <f>G26*F27</f>
        <v>0</v>
      </c>
    </row>
    <row r="28" spans="1:7" ht="17" customHeight="1">
      <c r="C28" s="14" t="s">
        <v>32</v>
      </c>
      <c r="D28" s="14"/>
      <c r="E28" s="14"/>
      <c r="F28" s="16">
        <v>0.1</v>
      </c>
      <c r="G28" s="13">
        <f>(G26-G27)*F28</f>
        <v>73100000</v>
      </c>
    </row>
    <row r="29" spans="1:7" ht="21" customHeight="1">
      <c r="C29" s="17" t="s">
        <v>33</v>
      </c>
      <c r="D29" s="17"/>
      <c r="E29" s="17"/>
      <c r="F29" s="17"/>
      <c r="G29" s="18">
        <f>G26-G27+G28</f>
        <v>804100000</v>
      </c>
    </row>
    <row r="30" spans="1:7" ht="6" customHeight="1"/>
    <row r="31" spans="1:7" ht="70" customHeight="1">
      <c r="A31" s="8" t="s">
        <v>34</v>
      </c>
      <c r="B31" s="8"/>
      <c r="C31" s="8"/>
      <c r="D31" s="8"/>
      <c r="E31" s="8"/>
      <c r="F31" s="8"/>
      <c r="G31" s="8"/>
    </row>
    <row r="32" spans="1:7" ht="4" customHeight="1"/>
    <row r="33" spans="1:7" ht="30" customHeight="1">
      <c r="A33" s="8" t="s">
        <v>35</v>
      </c>
      <c r="B33" s="8"/>
      <c r="C33" s="8"/>
      <c r="D33" s="8"/>
      <c r="E33" s="8"/>
      <c r="F33" s="8"/>
      <c r="G33" s="8"/>
    </row>
    <row r="34" spans="1:7" ht="6" customHeight="1"/>
    <row r="35" spans="1:7">
      <c r="A35" s="6" t="s">
        <v>36</v>
      </c>
      <c r="B35" s="6"/>
      <c r="C35" s="6"/>
      <c r="D35" s="6"/>
      <c r="E35" s="6"/>
      <c r="F35" s="6"/>
      <c r="G35" s="6"/>
    </row>
    <row r="36" spans="1:7">
      <c r="A36" s="6" t="s">
        <v>37</v>
      </c>
    </row>
    <row r="37" spans="1:7" ht="14" customHeight="1"/>
    <row r="38" spans="1:7" ht="14" customHeight="1"/>
    <row r="39" spans="1:7" ht="4" customHeight="1">
      <c r="A39" s="19"/>
      <c r="B39" s="19"/>
      <c r="C39" s="19"/>
      <c r="D39" s="19"/>
      <c r="E39" s="19"/>
    </row>
    <row r="40" spans="1:7">
      <c r="A40" s="5" t="s">
        <v>38</v>
      </c>
    </row>
    <row r="41" spans="1:7" ht="14" customHeight="1">
      <c r="A41" s="20" t="s">
        <v>39</v>
      </c>
    </row>
    <row r="42" spans="1:7">
      <c r="A42" s="6" t="s">
        <v>40</v>
      </c>
    </row>
    <row r="43" spans="1:7" ht="6" customHeight="1"/>
    <row r="44" spans="1:7" ht="14" customHeight="1">
      <c r="A44" s="6" t="s">
        <v>41</v>
      </c>
    </row>
  </sheetData>
  <mergeCells count="18">
    <mergeCell ref="A1:D1"/>
    <mergeCell ref="A2:D2"/>
    <mergeCell ref="A3:D3"/>
    <mergeCell ref="D5:G5"/>
    <mergeCell ref="D6:G6"/>
    <mergeCell ref="A8:C8"/>
    <mergeCell ref="A9:C9"/>
    <mergeCell ref="A10:C10"/>
    <mergeCell ref="A12:G12"/>
    <mergeCell ref="A14:G14"/>
    <mergeCell ref="A15:G15"/>
    <mergeCell ref="C26:F26"/>
    <mergeCell ref="C27:E27"/>
    <mergeCell ref="C28:E28"/>
    <mergeCell ref="C29:F29"/>
    <mergeCell ref="A31:G31"/>
    <mergeCell ref="A33:G33"/>
    <mergeCell ref="A35:G35"/>
  </mergeCells>
  <dataValidations count="1">
    <dataValidation type="list" allowBlank="1" showInputMessage="1" showErrorMessage="1" sqref="E18:E25">
      <formula1>"unit,set,pcs,lot,m,m²,m³,kg,hr,day"</formula1>
    </dataValidation>
  </dataValidations>
  <pageMargins left="1.18" right="0.59" top="0.78" bottom="0.62" header="0.0" footer="0.2"/>
  <pageSetup paperSize="9" orientation="portrait"/>
  <headerFooter scaleWithDoc="0" alignWithMargins="0">
    <oddHeader>&amp;C&amp;G</oddHeader>
    <oddFooter>&amp;C&amp;G</oddFooter>
  </headerFooter>
  <drawing r:id="rId1"/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4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3" width="85.7109375" customWidth="1"/>
  </cols>
  <sheetData>
    <row r="1" spans="2:3" ht="5" customHeight="1">
      <c r="B1" s="21"/>
      <c r="C1" s="21"/>
    </row>
    <row r="2" spans="2:3" ht="26" customHeight="1">
      <c r="B2" s="22" t="s">
        <v>42</v>
      </c>
      <c r="C2" s="22"/>
    </row>
    <row r="3" spans="2:3" ht="16" customHeight="1">
      <c r="B3" s="23" t="s">
        <v>43</v>
      </c>
      <c r="C3" s="23"/>
    </row>
    <row r="5" spans="2:3" ht="28" customHeight="1">
      <c r="B5" s="24" t="s">
        <v>44</v>
      </c>
      <c r="C5" s="25" t="s">
        <v>45</v>
      </c>
    </row>
    <row r="6" spans="2:3" ht="28" customHeight="1">
      <c r="B6" s="24" t="s">
        <v>46</v>
      </c>
      <c r="C6" s="25" t="s">
        <v>47</v>
      </c>
    </row>
    <row r="7" spans="2:3" ht="28" customHeight="1">
      <c r="B7" s="24" t="s">
        <v>48</v>
      </c>
      <c r="C7" s="25" t="s">
        <v>49</v>
      </c>
    </row>
    <row r="8" spans="2:3" ht="28" customHeight="1">
      <c r="B8" s="24" t="s">
        <v>50</v>
      </c>
      <c r="C8" s="25" t="s">
        <v>51</v>
      </c>
    </row>
    <row r="9" spans="2:3" ht="28" customHeight="1">
      <c r="B9" s="24" t="s">
        <v>52</v>
      </c>
      <c r="C9" s="25" t="s">
        <v>53</v>
      </c>
    </row>
    <row r="10" spans="2:3" ht="28" customHeight="1">
      <c r="B10" s="24" t="s">
        <v>54</v>
      </c>
      <c r="C10" s="25" t="s">
        <v>55</v>
      </c>
    </row>
    <row r="11" spans="2:3" ht="28" customHeight="1">
      <c r="B11" s="24" t="s">
        <v>56</v>
      </c>
      <c r="C11" s="25" t="s">
        <v>57</v>
      </c>
    </row>
    <row r="12" spans="2:3" ht="28" customHeight="1">
      <c r="B12" s="24" t="s">
        <v>58</v>
      </c>
      <c r="C12" s="25" t="s">
        <v>59</v>
      </c>
    </row>
    <row r="13" spans="2:3" ht="28" customHeight="1">
      <c r="B13" s="24" t="s">
        <v>60</v>
      </c>
      <c r="C13" s="25" t="s">
        <v>61</v>
      </c>
    </row>
    <row r="14" spans="2:3" ht="28" customHeight="1">
      <c r="B14" s="24" t="s">
        <v>62</v>
      </c>
      <c r="C14" s="25" t="s">
        <v>63</v>
      </c>
    </row>
  </sheetData>
  <mergeCells count="2">
    <mergeCell ref="B2:C2"/>
    <mergeCell ref="B3:C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Quotation</vt:lpstr>
      <vt:lpstr>How to use</vt:lpstr>
      <vt:lpstr>Quotation!Print_Area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2026-06-18T03:55:20Z</dcterms:created>
  <dcterms:modified xsi:type="dcterms:W3CDTF">2026-06-18T03:55:20Z</dcterms:modified>
</cp:coreProperties>
</file>